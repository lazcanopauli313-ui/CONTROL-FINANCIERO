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iqimagen-my.sharepoint.com/personal/idiris_lazcano_iqimagen_com/Documents/Documentos/AÑO 2026/IQ/DOCUMENTOS PERSONALES/"/>
    </mc:Choice>
  </mc:AlternateContent>
  <xr:revisionPtr revIDLastSave="0" documentId="8_{B3B78A9D-250C-4F72-A4CC-B13CF2763F64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Resumen" sheetId="1" r:id="rId1"/>
    <sheet name="Gastos" sheetId="2" r:id="rId2"/>
    <sheet name="Deudas" sheetId="3" r:id="rId3"/>
    <sheet name="Ahorro" sheetId="4" r:id="rId4"/>
    <sheet name="Calendari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" i="3" l="1"/>
  <c r="F7" i="3"/>
  <c r="E8" i="3"/>
  <c r="F8" i="3"/>
  <c r="E9" i="3"/>
  <c r="F9" i="3"/>
  <c r="D10" i="5"/>
  <c r="D9" i="5"/>
  <c r="D8" i="5"/>
  <c r="D7" i="5"/>
  <c r="D6" i="5"/>
  <c r="D25" i="4"/>
  <c r="C13" i="1" s="1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10" i="3"/>
  <c r="C10" i="3"/>
  <c r="D13" i="5"/>
  <c r="F6" i="3"/>
  <c r="E6" i="3"/>
  <c r="D11" i="5" s="1"/>
  <c r="C13" i="2"/>
  <c r="C14" i="2" s="1"/>
  <c r="C20" i="1"/>
  <c r="C19" i="1"/>
  <c r="C18" i="1"/>
  <c r="C17" i="1"/>
  <c r="C5" i="1"/>
  <c r="C10" i="1" s="1"/>
  <c r="C14" i="3" l="1"/>
  <c r="C7" i="1"/>
  <c r="C6" i="1"/>
  <c r="E10" i="3"/>
  <c r="C8" i="1" s="1"/>
  <c r="C15" i="3" l="1"/>
  <c r="C11" i="1"/>
  <c r="F5" i="1"/>
  <c r="F6" i="1" s="1"/>
  <c r="C12" i="1"/>
  <c r="C21" i="1"/>
</calcChain>
</file>

<file path=xl/sharedStrings.xml><?xml version="1.0" encoding="utf-8"?>
<sst xmlns="http://schemas.openxmlformats.org/spreadsheetml/2006/main" count="73" uniqueCount="59">
  <si>
    <t>Mi Catorcena</t>
  </si>
  <si>
    <t>Resumen financiero personal</t>
  </si>
  <si>
    <t>Ingreso catorcenal</t>
  </si>
  <si>
    <t>% ingreso usado en gastos fijos</t>
  </si>
  <si>
    <t>Gastos fijos (catorcenal)</t>
  </si>
  <si>
    <t>Estado del semáforo</t>
  </si>
  <si>
    <t>Libre disponible (catorcenal)</t>
  </si>
  <si>
    <t>Deuda total pendiente</t>
  </si>
  <si>
    <t>Ingreso mensual</t>
  </si>
  <si>
    <t>Gastos fijos mensuales</t>
  </si>
  <si>
    <t>Libre mensual</t>
  </si>
  <si>
    <t>Ahorro acumulado</t>
  </si>
  <si>
    <t>Concepto</t>
  </si>
  <si>
    <t>Monto</t>
  </si>
  <si>
    <t>Escuela</t>
  </si>
  <si>
    <t>Renta</t>
  </si>
  <si>
    <t>Comida</t>
  </si>
  <si>
    <t>Internet</t>
  </si>
  <si>
    <t>Libre</t>
  </si>
  <si>
    <t>Ingreso y gastos fijos</t>
  </si>
  <si>
    <t>Edita solo las celdas en azul — todo lo demás se calcula solo</t>
  </si>
  <si>
    <t>Gasto</t>
  </si>
  <si>
    <t>Monto catorcenal</t>
  </si>
  <si>
    <t>Internet (mensual / 2)</t>
  </si>
  <si>
    <t>Total gastos fijos</t>
  </si>
  <si>
    <t>Nota: si tu internet es mensual, ya viene dividido entre 2 catorcenas.</t>
  </si>
  <si>
    <t>Seguimiento de deudas</t>
  </si>
  <si>
    <t>Registra tus abonos en la columna Pagado</t>
  </si>
  <si>
    <t>Deuda</t>
  </si>
  <si>
    <t>Pagado</t>
  </si>
  <si>
    <t>Restante</t>
  </si>
  <si>
    <t>% Pagado</t>
  </si>
  <si>
    <t>Boleto Karol G</t>
  </si>
  <si>
    <t>Bolso</t>
  </si>
  <si>
    <t>Total</t>
  </si>
  <si>
    <t>Plan de pago sugerido</t>
  </si>
  <si>
    <t>Libre catorcenal disponible</t>
  </si>
  <si>
    <t>Catorcenas para liquidar (si destinas todo tu libre)</t>
  </si>
  <si>
    <t>Control de ahorro</t>
  </si>
  <si>
    <t>Agrega una fila por cada catorcena que ahorres</t>
  </si>
  <si>
    <t>Fecha</t>
  </si>
  <si>
    <t>Monto ahorrado</t>
  </si>
  <si>
    <t>Acumulado</t>
  </si>
  <si>
    <t>Calendario de pagos</t>
  </si>
  <si>
    <t>Tus pagos recurrentes, jalados directo de la hoja Gastos y Deudas</t>
  </si>
  <si>
    <t>Cuándo</t>
  </si>
  <si>
    <t>Día de pago</t>
  </si>
  <si>
    <t>Depósito de sueldo catorcenal</t>
  </si>
  <si>
    <t>2 días después del pago</t>
  </si>
  <si>
    <t>Cada catorcena</t>
  </si>
  <si>
    <t>1 vez al mes</t>
  </si>
  <si>
    <t>Internet (monto mensual)</t>
  </si>
  <si>
    <t>Pendiente</t>
  </si>
  <si>
    <t>Deuda: Boleto Karol G</t>
  </si>
  <si>
    <t>Deuda: Bolso</t>
  </si>
  <si>
    <t>Vacunas gatos</t>
  </si>
  <si>
    <t xml:space="preserve">Deuda: Ropa Suburbia </t>
  </si>
  <si>
    <t xml:space="preserve">Ropa Suburbia </t>
  </si>
  <si>
    <t xml:space="preserve">Préstamo papá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</si>
</sst>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&quot;($&quot;#,##0\);\-"/>
    <numFmt numFmtId="165" formatCode="0.0%"/>
  </numFmts>
  <fonts count="9" x14ac:knownFonts="1">
    <font>
      <sz val="11"/>
      <color theme="1"/>
      <name val="Calibri"/>
      <family val="2"/>
      <charset val="1"/>
    </font>
    <font>
      <b/>
      <sz val="18"/>
      <color rgb="FF4A2358"/>
      <name val="Arial"/>
      <charset val="1"/>
    </font>
    <font>
      <i/>
      <sz val="11"/>
      <color rgb="FF8E44AD"/>
      <name val="Arial"/>
      <charset val="1"/>
    </font>
    <font>
      <b/>
      <sz val="11"/>
      <color rgb="FF4A2358"/>
      <name val="Arial"/>
      <charset val="1"/>
    </font>
    <font>
      <sz val="11"/>
      <color rgb="FF008000"/>
      <name val="Arial"/>
      <charset val="1"/>
    </font>
    <font>
      <sz val="11"/>
      <color rgb="FF000000"/>
      <name val="Arial"/>
      <charset val="1"/>
    </font>
    <font>
      <b/>
      <sz val="12"/>
      <color rgb="FFFFFFFF"/>
      <name val="Arial"/>
      <charset val="1"/>
    </font>
    <font>
      <sz val="11"/>
      <color rgb="FF0000FF"/>
      <name val="Arial"/>
      <charset val="1"/>
    </font>
    <font>
      <i/>
      <sz val="9"/>
      <color rgb="FF9B7EA8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8E8F5"/>
        <bgColor rgb="FFEAF6FF"/>
      </patternFill>
    </fill>
    <fill>
      <patternFill patternType="solid">
        <fgColor rgb="FFC9A0DC"/>
        <bgColor rgb="FFD9C2E8"/>
      </patternFill>
    </fill>
    <fill>
      <patternFill patternType="solid">
        <fgColor rgb="FFEAF6FF"/>
        <bgColor rgb="FFFFFFFF"/>
      </patternFill>
    </fill>
  </fills>
  <borders count="2">
    <border>
      <left/>
      <right/>
      <top/>
      <bottom/>
      <diagonal/>
    </border>
    <border>
      <left style="thin">
        <color rgb="FFD9C2E8"/>
      </left>
      <right style="thin">
        <color rgb="FFD9C2E8"/>
      </right>
      <top style="thin">
        <color rgb="FFD9C2E8"/>
      </top>
      <bottom style="thin">
        <color rgb="FFD9C2E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164" fontId="4" fillId="0" borderId="1" xfId="0" applyNumberFormat="1" applyFont="1" applyBorder="1" applyAlignment="1">
      <alignment horizontal="right"/>
    </xf>
    <xf numFmtId="165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/>
    <xf numFmtId="164" fontId="7" fillId="4" borderId="1" xfId="0" applyNumberFormat="1" applyFont="1" applyFill="1" applyBorder="1"/>
    <xf numFmtId="0" fontId="8" fillId="0" borderId="0" xfId="0" applyFont="1"/>
    <xf numFmtId="9" fontId="5" fillId="0" borderId="1" xfId="0" applyNumberFormat="1" applyFont="1" applyBorder="1" applyAlignment="1">
      <alignment horizontal="right"/>
    </xf>
    <xf numFmtId="0" fontId="0" fillId="2" borderId="1" xfId="0" applyFill="1" applyBorder="1"/>
    <xf numFmtId="0" fontId="3" fillId="0" borderId="0" xfId="0" applyFont="1"/>
    <xf numFmtId="14" fontId="0" fillId="0" borderId="1" xfId="0" applyNumberFormat="1" applyBorder="1"/>
    <xf numFmtId="164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8E44AD"/>
      <rgbColor rgb="FFF8E8F5"/>
      <rgbColor rgb="FFEAF6FF"/>
      <rgbColor rgb="FF660066"/>
      <rgbColor rgb="FFFF8080"/>
      <rgbColor rgb="FF0066CC"/>
      <rgbColor rgb="FFD9C2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9A0DC"/>
      <rgbColor rgb="FFFFCC99"/>
      <rgbColor rgb="FF4A7EBB"/>
      <rgbColor rgb="FF4BACC6"/>
      <rgbColor rgb="FF9BBB59"/>
      <rgbColor rgb="FFFFCC00"/>
      <rgbColor rgb="FFFF9900"/>
      <rgbColor rgb="FFFF6600"/>
      <rgbColor rgb="FF8064A2"/>
      <rgbColor rgb="FF9B7EA8"/>
      <rgbColor rgb="FF003366"/>
      <rgbColor rgb="FF4F81BD"/>
      <rgbColor rgb="FF003300"/>
      <rgbColor rgb="FF333300"/>
      <rgbColor rgb="FF993300"/>
      <rgbColor rgb="FFC0504D"/>
      <rgbColor rgb="FF333399"/>
      <rgbColor rgb="FF4A235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Distribución de gastos (catorcenal)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Resumen!$C$16</c:f>
              <c:strCache>
                <c:ptCount val="1"/>
                <c:pt idx="0">
                  <c:v>Monto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8467-4C57-97A8-AB8AD78B4B10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467-4C57-97A8-AB8AD78B4B10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467-4C57-97A8-AB8AD78B4B10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8467-4C57-97A8-AB8AD78B4B10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8467-4C57-97A8-AB8AD78B4B10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MX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8467-4C57-97A8-AB8AD78B4B10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MX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8467-4C57-97A8-AB8AD78B4B10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MX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8467-4C57-97A8-AB8AD78B4B10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MX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8467-4C57-97A8-AB8AD78B4B10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MX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8467-4C57-97A8-AB8AD78B4B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Resumen!$B$17:$B$21</c:f>
              <c:strCache>
                <c:ptCount val="5"/>
                <c:pt idx="0">
                  <c:v>Escuela</c:v>
                </c:pt>
                <c:pt idx="1">
                  <c:v>Renta</c:v>
                </c:pt>
                <c:pt idx="2">
                  <c:v>Comida</c:v>
                </c:pt>
                <c:pt idx="3">
                  <c:v>Internet</c:v>
                </c:pt>
                <c:pt idx="4">
                  <c:v>Libre</c:v>
                </c:pt>
              </c:strCache>
            </c:strRef>
          </c:cat>
          <c:val>
            <c:numRef>
              <c:f>Resumen!$C$17:$C$21</c:f>
              <c:numCache>
                <c:formatCode>\$#,##0;"($"#,##0\);\-</c:formatCode>
                <c:ptCount val="5"/>
                <c:pt idx="0">
                  <c:v>1512</c:v>
                </c:pt>
                <c:pt idx="1">
                  <c:v>1000</c:v>
                </c:pt>
                <c:pt idx="2">
                  <c:v>600</c:v>
                </c:pt>
                <c:pt idx="3">
                  <c:v>230</c:v>
                </c:pt>
                <c:pt idx="4">
                  <c:v>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467-4C57-97A8-AB8AD78B4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Ahorro acumulado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Ahorro!$D$5</c:f>
              <c:strCache>
                <c:ptCount val="1"/>
                <c:pt idx="0">
                  <c:v>Acumulado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Ahorro!$D$6:$D$25</c:f>
              <c:numCache>
                <c:formatCode>\$#,##0;"($"#,##0\);\-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243-4414-90FF-D25E3ABF8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1625562"/>
        <c:axId val="9062344"/>
      </c:lineChart>
      <c:catAx>
        <c:axId val="916255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9062344"/>
        <c:crosses val="autoZero"/>
        <c:auto val="1"/>
        <c:lblAlgn val="ctr"/>
        <c:lblOffset val="100"/>
        <c:noMultiLvlLbl val="0"/>
      </c:catAx>
      <c:valAx>
        <c:axId val="90623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916255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106680</xdr:colOff>
      <xdr:row>8</xdr:row>
      <xdr:rowOff>116400</xdr:rowOff>
    </xdr:from>
    <xdr:to>
      <xdr:col>7</xdr:col>
      <xdr:colOff>401220</xdr:colOff>
      <xdr:row>23</xdr:row>
      <xdr:rowOff>138360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101160</xdr:rowOff>
    </xdr:from>
    <xdr:to>
      <xdr:col>13</xdr:col>
      <xdr:colOff>147600</xdr:colOff>
      <xdr:row>18</xdr:row>
      <xdr:rowOff>123120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1"/>
  <sheetViews>
    <sheetView showGridLines="0" tabSelected="1" zoomScaleNormal="100" workbookViewId="0">
      <selection activeCell="C8" sqref="C8"/>
    </sheetView>
  </sheetViews>
  <sheetFormatPr baseColWidth="10" defaultColWidth="8.6640625" defaultRowHeight="14.4" x14ac:dyDescent="0.3"/>
  <cols>
    <col min="1" max="1" width="3" customWidth="1"/>
    <col min="2" max="2" width="28" customWidth="1"/>
    <col min="3" max="3" width="16" customWidth="1"/>
    <col min="4" max="4" width="3" customWidth="1"/>
    <col min="5" max="5" width="32.33203125" bestFit="1" customWidth="1"/>
    <col min="6" max="6" width="16" customWidth="1"/>
  </cols>
  <sheetData>
    <row r="2" spans="2:6" ht="22.8" x14ac:dyDescent="0.4">
      <c r="B2" s="1" t="s">
        <v>0</v>
      </c>
    </row>
    <row r="3" spans="2:6" x14ac:dyDescent="0.3">
      <c r="B3" s="2" t="s">
        <v>1</v>
      </c>
    </row>
    <row r="5" spans="2:6" x14ac:dyDescent="0.3">
      <c r="B5" s="3" t="s">
        <v>2</v>
      </c>
      <c r="C5" s="4">
        <f>Gastos!C5</f>
        <v>6000</v>
      </c>
      <c r="E5" s="3" t="s">
        <v>3</v>
      </c>
      <c r="F5" s="5">
        <f>C6/C5</f>
        <v>0.61533333333333329</v>
      </c>
    </row>
    <row r="6" spans="2:6" x14ac:dyDescent="0.3">
      <c r="B6" s="3" t="s">
        <v>4</v>
      </c>
      <c r="C6" s="4">
        <f>Gastos!C13</f>
        <v>3692</v>
      </c>
      <c r="E6" s="3" t="s">
        <v>5</v>
      </c>
      <c r="F6" s="6" t="str">
        <f>IF(F5&lt;0.6,"Vas bien",IF(F5&lt;0.85,"Cuidado","Alerta"))</f>
        <v>Cuidado</v>
      </c>
    </row>
    <row r="7" spans="2:6" x14ac:dyDescent="0.3">
      <c r="B7" s="3" t="s">
        <v>6</v>
      </c>
      <c r="C7" s="4">
        <f>Gastos!C14</f>
        <v>2308</v>
      </c>
    </row>
    <row r="8" spans="2:6" x14ac:dyDescent="0.3">
      <c r="B8" s="3" t="s">
        <v>7</v>
      </c>
      <c r="C8" s="4">
        <f>Deudas!E10</f>
        <v>7191</v>
      </c>
    </row>
    <row r="10" spans="2:6" x14ac:dyDescent="0.3">
      <c r="B10" s="3" t="s">
        <v>8</v>
      </c>
      <c r="C10" s="7">
        <f>C5*2</f>
        <v>12000</v>
      </c>
    </row>
    <row r="11" spans="2:6" x14ac:dyDescent="0.3">
      <c r="B11" s="3" t="s">
        <v>9</v>
      </c>
      <c r="C11" s="7">
        <f>C6*2</f>
        <v>7384</v>
      </c>
    </row>
    <row r="12" spans="2:6" x14ac:dyDescent="0.3">
      <c r="B12" s="3" t="s">
        <v>10</v>
      </c>
      <c r="C12" s="7">
        <f>C7*2</f>
        <v>4616</v>
      </c>
    </row>
    <row r="13" spans="2:6" x14ac:dyDescent="0.3">
      <c r="B13" s="3" t="s">
        <v>11</v>
      </c>
      <c r="C13" s="4">
        <f>Ahorro!D25</f>
        <v>0</v>
      </c>
    </row>
    <row r="16" spans="2:6" ht="15.6" x14ac:dyDescent="0.3">
      <c r="B16" s="8" t="s">
        <v>12</v>
      </c>
      <c r="C16" s="8" t="s">
        <v>13</v>
      </c>
    </row>
    <row r="17" spans="2:3" x14ac:dyDescent="0.3">
      <c r="B17" s="9" t="s">
        <v>14</v>
      </c>
      <c r="C17" s="7">
        <f>Gastos!C8</f>
        <v>1512</v>
      </c>
    </row>
    <row r="18" spans="2:3" x14ac:dyDescent="0.3">
      <c r="B18" s="9" t="s">
        <v>15</v>
      </c>
      <c r="C18" s="7">
        <f>Gastos!C9</f>
        <v>1000</v>
      </c>
    </row>
    <row r="19" spans="2:3" x14ac:dyDescent="0.3">
      <c r="B19" s="9" t="s">
        <v>16</v>
      </c>
      <c r="C19" s="7">
        <f>Gastos!C11</f>
        <v>600</v>
      </c>
    </row>
    <row r="20" spans="2:3" x14ac:dyDescent="0.3">
      <c r="B20" s="9" t="s">
        <v>17</v>
      </c>
      <c r="C20" s="7">
        <f>Gastos!C12</f>
        <v>230</v>
      </c>
    </row>
    <row r="21" spans="2:3" x14ac:dyDescent="0.3">
      <c r="B21" s="9" t="s">
        <v>18</v>
      </c>
      <c r="C21" s="7">
        <f>C7</f>
        <v>2308</v>
      </c>
    </row>
  </sheetData>
  <conditionalFormatting sqref="F5">
    <cfRule type="colorScale" priority="2">
      <colorScale>
        <cfvo type="num" val="0"/>
        <cfvo type="num" val="0.72"/>
        <cfvo type="num" val="1"/>
        <color rgb="FFA8D8B9"/>
        <color rgb="FFF5E6A8"/>
        <color rgb="FFF28B9E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7"/>
  <sheetViews>
    <sheetView showGridLines="0" zoomScaleNormal="100" workbookViewId="0">
      <selection activeCell="C12" sqref="C12"/>
    </sheetView>
  </sheetViews>
  <sheetFormatPr baseColWidth="10" defaultColWidth="8.6640625" defaultRowHeight="14.4" x14ac:dyDescent="0.3"/>
  <cols>
    <col min="1" max="1" width="3" customWidth="1"/>
    <col min="2" max="2" width="30" customWidth="1"/>
    <col min="3" max="3" width="18" customWidth="1"/>
    <col min="4" max="4" width="3" customWidth="1"/>
    <col min="5" max="5" width="45" customWidth="1"/>
  </cols>
  <sheetData>
    <row r="2" spans="2:3" ht="22.8" x14ac:dyDescent="0.4">
      <c r="B2" s="1" t="s">
        <v>19</v>
      </c>
    </row>
    <row r="3" spans="2:3" x14ac:dyDescent="0.3">
      <c r="B3" s="2" t="s">
        <v>20</v>
      </c>
    </row>
    <row r="5" spans="2:3" x14ac:dyDescent="0.3">
      <c r="B5" s="3" t="s">
        <v>2</v>
      </c>
      <c r="C5" s="10">
        <v>6000</v>
      </c>
    </row>
    <row r="7" spans="2:3" ht="15.6" x14ac:dyDescent="0.3">
      <c r="B7" s="8" t="s">
        <v>21</v>
      </c>
      <c r="C7" s="8" t="s">
        <v>22</v>
      </c>
    </row>
    <row r="8" spans="2:3" x14ac:dyDescent="0.3">
      <c r="B8" s="9" t="s">
        <v>14</v>
      </c>
      <c r="C8" s="10">
        <v>1512</v>
      </c>
    </row>
    <row r="9" spans="2:3" x14ac:dyDescent="0.3">
      <c r="B9" s="9" t="s">
        <v>15</v>
      </c>
      <c r="C9" s="10">
        <v>1000</v>
      </c>
    </row>
    <row r="10" spans="2:3" x14ac:dyDescent="0.3">
      <c r="B10" s="9" t="s">
        <v>55</v>
      </c>
      <c r="C10" s="10">
        <v>350</v>
      </c>
    </row>
    <row r="11" spans="2:3" x14ac:dyDescent="0.3">
      <c r="B11" s="9" t="s">
        <v>16</v>
      </c>
      <c r="C11" s="10">
        <v>600</v>
      </c>
    </row>
    <row r="12" spans="2:3" x14ac:dyDescent="0.3">
      <c r="B12" s="9" t="s">
        <v>23</v>
      </c>
      <c r="C12" s="10">
        <v>230</v>
      </c>
    </row>
    <row r="13" spans="2:3" x14ac:dyDescent="0.3">
      <c r="B13" s="3" t="s">
        <v>24</v>
      </c>
      <c r="C13" s="7">
        <f>SUM(C8:C12)</f>
        <v>3692</v>
      </c>
    </row>
    <row r="14" spans="2:3" x14ac:dyDescent="0.3">
      <c r="B14" s="3" t="s">
        <v>6</v>
      </c>
      <c r="C14" s="7">
        <f>C5-C13</f>
        <v>2308</v>
      </c>
    </row>
    <row r="17" spans="2:2" x14ac:dyDescent="0.3">
      <c r="B17" s="11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5"/>
  <sheetViews>
    <sheetView showGridLines="0" zoomScaleNormal="100" workbookViewId="0">
      <selection activeCell="D16" sqref="D16"/>
    </sheetView>
  </sheetViews>
  <sheetFormatPr baseColWidth="10" defaultColWidth="8.6640625" defaultRowHeight="14.4" x14ac:dyDescent="0.3"/>
  <cols>
    <col min="1" max="1" width="3" customWidth="1"/>
    <col min="2" max="2" width="41.77734375" bestFit="1" customWidth="1"/>
    <col min="3" max="6" width="14" customWidth="1"/>
    <col min="7" max="7" width="3" customWidth="1"/>
    <col min="8" max="8" width="34" customWidth="1"/>
  </cols>
  <sheetData>
    <row r="2" spans="2:6" ht="22.8" x14ac:dyDescent="0.4">
      <c r="B2" s="1" t="s">
        <v>26</v>
      </c>
    </row>
    <row r="3" spans="2:6" x14ac:dyDescent="0.3">
      <c r="B3" s="2" t="s">
        <v>27</v>
      </c>
    </row>
    <row r="5" spans="2:6" ht="15.6" x14ac:dyDescent="0.3">
      <c r="B5" s="8" t="s">
        <v>28</v>
      </c>
      <c r="C5" s="8" t="s">
        <v>13</v>
      </c>
      <c r="D5" s="8" t="s">
        <v>29</v>
      </c>
      <c r="E5" s="8" t="s">
        <v>30</v>
      </c>
      <c r="F5" s="8" t="s">
        <v>31</v>
      </c>
    </row>
    <row r="6" spans="2:6" x14ac:dyDescent="0.3">
      <c r="B6" s="9" t="s">
        <v>32</v>
      </c>
      <c r="C6" s="10">
        <v>2000</v>
      </c>
      <c r="D6" s="10">
        <v>0</v>
      </c>
      <c r="E6" s="7">
        <f>C6-D6</f>
        <v>2000</v>
      </c>
      <c r="F6" s="12">
        <f>D6/C6</f>
        <v>0</v>
      </c>
    </row>
    <row r="7" spans="2:6" x14ac:dyDescent="0.3">
      <c r="B7" s="9" t="s">
        <v>58</v>
      </c>
      <c r="C7" s="10">
        <v>500</v>
      </c>
      <c r="D7" s="10"/>
      <c r="E7" s="7">
        <f>C7-D7</f>
        <v>500</v>
      </c>
      <c r="F7" s="12">
        <f>D7/C7</f>
        <v>0</v>
      </c>
    </row>
    <row r="8" spans="2:6" x14ac:dyDescent="0.3">
      <c r="B8" s="9" t="s">
        <v>57</v>
      </c>
      <c r="C8" s="10">
        <v>3791</v>
      </c>
      <c r="D8" s="10">
        <v>1100</v>
      </c>
      <c r="E8" s="7">
        <f t="shared" ref="E8:E9" si="0">C8-D8</f>
        <v>2691</v>
      </c>
      <c r="F8" s="12">
        <f t="shared" ref="F8:F9" si="1">D8/C8</f>
        <v>0.29016090741229228</v>
      </c>
    </row>
    <row r="9" spans="2:6" x14ac:dyDescent="0.3">
      <c r="B9" s="9" t="s">
        <v>33</v>
      </c>
      <c r="C9" s="10">
        <v>2000</v>
      </c>
      <c r="D9" s="10">
        <v>0</v>
      </c>
      <c r="E9" s="7">
        <f t="shared" si="0"/>
        <v>2000</v>
      </c>
      <c r="F9" s="12">
        <f t="shared" si="1"/>
        <v>0</v>
      </c>
    </row>
    <row r="10" spans="2:6" x14ac:dyDescent="0.3">
      <c r="B10" s="3" t="s">
        <v>34</v>
      </c>
      <c r="C10" s="7">
        <f>SUM(C6:C9)</f>
        <v>8291</v>
      </c>
      <c r="D10" s="7">
        <f>SUM(D6:D9)</f>
        <v>1100</v>
      </c>
      <c r="E10" s="7">
        <f>SUM(E6:E9)</f>
        <v>7191</v>
      </c>
      <c r="F10" s="13"/>
    </row>
    <row r="13" spans="2:6" x14ac:dyDescent="0.3">
      <c r="B13" s="14" t="s">
        <v>35</v>
      </c>
    </row>
    <row r="14" spans="2:6" x14ac:dyDescent="0.3">
      <c r="B14" s="13" t="s">
        <v>36</v>
      </c>
      <c r="C14" s="7">
        <f>Gastos!C14</f>
        <v>2308</v>
      </c>
    </row>
    <row r="15" spans="2:6" x14ac:dyDescent="0.3">
      <c r="B15" s="13" t="s">
        <v>37</v>
      </c>
      <c r="C15" s="6">
        <f>IF(C14&lt;=0,"-",ROUNDUP(Deudas!E10/C14,0))</f>
        <v>4</v>
      </c>
    </row>
  </sheetData>
  <conditionalFormatting sqref="F6:F9">
    <cfRule type="dataBar" priority="2">
      <dataBar>
        <cfvo type="num" val="0"/>
        <cfvo type="num" val="1"/>
        <color rgb="FFA8D8B9"/>
      </dataBar>
      <extLst>
        <ext xmlns:x14="http://schemas.microsoft.com/office/spreadsheetml/2009/9/main" uri="{B025F937-C7B1-47D3-B67F-A62EFF666E3E}">
          <x14:id>{9C782DDB-36D5-4355-B2FA-E2BAF42EF97A}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782DDB-36D5-4355-B2FA-E2BAF42EF97A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A8D8B9"/>
            </x14:dataBar>
          </x14:cfRule>
          <xm:sqref>F6:F9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25"/>
  <sheetViews>
    <sheetView showGridLines="0" zoomScaleNormal="100" workbookViewId="0">
      <selection activeCell="D15" sqref="D15"/>
    </sheetView>
  </sheetViews>
  <sheetFormatPr baseColWidth="10" defaultColWidth="8.6640625" defaultRowHeight="14.4" x14ac:dyDescent="0.3"/>
  <cols>
    <col min="1" max="1" width="3" customWidth="1"/>
    <col min="2" max="2" width="16" customWidth="1"/>
    <col min="3" max="3" width="18" bestFit="1" customWidth="1"/>
    <col min="4" max="4" width="16" customWidth="1"/>
    <col min="5" max="5" width="3" customWidth="1"/>
  </cols>
  <sheetData>
    <row r="2" spans="2:4" ht="22.8" x14ac:dyDescent="0.4">
      <c r="B2" s="1" t="s">
        <v>38</v>
      </c>
    </row>
    <row r="3" spans="2:4" x14ac:dyDescent="0.3">
      <c r="B3" s="2" t="s">
        <v>39</v>
      </c>
    </row>
    <row r="5" spans="2:4" ht="15.6" x14ac:dyDescent="0.3">
      <c r="B5" s="8" t="s">
        <v>40</v>
      </c>
      <c r="C5" s="8" t="s">
        <v>41</v>
      </c>
      <c r="D5" s="8" t="s">
        <v>42</v>
      </c>
    </row>
    <row r="6" spans="2:4" x14ac:dyDescent="0.3">
      <c r="B6" s="15"/>
      <c r="C6" s="10"/>
      <c r="D6" s="16">
        <f>SUM($C$6:C6)</f>
        <v>0</v>
      </c>
    </row>
    <row r="7" spans="2:4" x14ac:dyDescent="0.3">
      <c r="B7" s="15"/>
      <c r="C7" s="10"/>
      <c r="D7" s="16">
        <f>SUM($C$6:C7)</f>
        <v>0</v>
      </c>
    </row>
    <row r="8" spans="2:4" x14ac:dyDescent="0.3">
      <c r="B8" s="15"/>
      <c r="C8" s="10"/>
      <c r="D8" s="16">
        <f>SUM($C$6:C8)</f>
        <v>0</v>
      </c>
    </row>
    <row r="9" spans="2:4" x14ac:dyDescent="0.3">
      <c r="B9" s="15"/>
      <c r="C9" s="10"/>
      <c r="D9" s="16">
        <f>SUM($C$6:C9)</f>
        <v>0</v>
      </c>
    </row>
    <row r="10" spans="2:4" x14ac:dyDescent="0.3">
      <c r="B10" s="15"/>
      <c r="C10" s="10"/>
      <c r="D10" s="16">
        <f>SUM($C$6:C10)</f>
        <v>0</v>
      </c>
    </row>
    <row r="11" spans="2:4" x14ac:dyDescent="0.3">
      <c r="B11" s="15"/>
      <c r="C11" s="10"/>
      <c r="D11" s="16">
        <f>SUM($C$6:C11)</f>
        <v>0</v>
      </c>
    </row>
    <row r="12" spans="2:4" x14ac:dyDescent="0.3">
      <c r="B12" s="15"/>
      <c r="C12" s="10"/>
      <c r="D12" s="16">
        <f>SUM($C$6:C12)</f>
        <v>0</v>
      </c>
    </row>
    <row r="13" spans="2:4" x14ac:dyDescent="0.3">
      <c r="B13" s="15"/>
      <c r="C13" s="10"/>
      <c r="D13" s="16">
        <f>SUM($C$6:C13)</f>
        <v>0</v>
      </c>
    </row>
    <row r="14" spans="2:4" x14ac:dyDescent="0.3">
      <c r="B14" s="15"/>
      <c r="C14" s="10"/>
      <c r="D14" s="16">
        <f>SUM($C$6:C14)</f>
        <v>0</v>
      </c>
    </row>
    <row r="15" spans="2:4" x14ac:dyDescent="0.3">
      <c r="B15" s="15"/>
      <c r="C15" s="10"/>
      <c r="D15" s="16">
        <f>SUM($C$6:C15)</f>
        <v>0</v>
      </c>
    </row>
    <row r="16" spans="2:4" x14ac:dyDescent="0.3">
      <c r="B16" s="15"/>
      <c r="C16" s="10"/>
      <c r="D16" s="16">
        <f>SUM($C$6:C16)</f>
        <v>0</v>
      </c>
    </row>
    <row r="17" spans="2:4" x14ac:dyDescent="0.3">
      <c r="B17" s="15"/>
      <c r="C17" s="10"/>
      <c r="D17" s="16">
        <f>SUM($C$6:C17)</f>
        <v>0</v>
      </c>
    </row>
    <row r="18" spans="2:4" x14ac:dyDescent="0.3">
      <c r="B18" s="15"/>
      <c r="C18" s="10"/>
      <c r="D18" s="16">
        <f>SUM($C$6:C18)</f>
        <v>0</v>
      </c>
    </row>
    <row r="19" spans="2:4" x14ac:dyDescent="0.3">
      <c r="B19" s="15"/>
      <c r="C19" s="10"/>
      <c r="D19" s="16">
        <f>SUM($C$6:C19)</f>
        <v>0</v>
      </c>
    </row>
    <row r="20" spans="2:4" x14ac:dyDescent="0.3">
      <c r="B20" s="15"/>
      <c r="C20" s="10"/>
      <c r="D20" s="16">
        <f>SUM($C$6:C20)</f>
        <v>0</v>
      </c>
    </row>
    <row r="21" spans="2:4" x14ac:dyDescent="0.3">
      <c r="B21" s="15"/>
      <c r="C21" s="10"/>
      <c r="D21" s="16">
        <f>SUM($C$6:C21)</f>
        <v>0</v>
      </c>
    </row>
    <row r="22" spans="2:4" x14ac:dyDescent="0.3">
      <c r="B22" s="15"/>
      <c r="C22" s="10"/>
      <c r="D22" s="16">
        <f>SUM($C$6:C22)</f>
        <v>0</v>
      </c>
    </row>
    <row r="23" spans="2:4" x14ac:dyDescent="0.3">
      <c r="B23" s="15"/>
      <c r="C23" s="10"/>
      <c r="D23" s="16">
        <f>SUM($C$6:C23)</f>
        <v>0</v>
      </c>
    </row>
    <row r="24" spans="2:4" x14ac:dyDescent="0.3">
      <c r="B24" s="15"/>
      <c r="C24" s="10"/>
      <c r="D24" s="16">
        <f>SUM($C$6:C24)</f>
        <v>0</v>
      </c>
    </row>
    <row r="25" spans="2:4" x14ac:dyDescent="0.3">
      <c r="B25" s="15"/>
      <c r="C25" s="10"/>
      <c r="D25" s="16">
        <f>SUM($C$6:C25)</f>
        <v>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13"/>
  <sheetViews>
    <sheetView showGridLines="0" zoomScaleNormal="100" workbookViewId="0">
      <selection activeCell="C17" sqref="C17"/>
    </sheetView>
  </sheetViews>
  <sheetFormatPr baseColWidth="10" defaultColWidth="8.6640625" defaultRowHeight="14.4" x14ac:dyDescent="0.3"/>
  <cols>
    <col min="1" max="1" width="3" customWidth="1"/>
    <col min="2" max="2" width="26" customWidth="1"/>
    <col min="3" max="3" width="30" customWidth="1"/>
    <col min="4" max="4" width="16" customWidth="1"/>
    <col min="5" max="5" width="3" customWidth="1"/>
  </cols>
  <sheetData>
    <row r="2" spans="2:4" ht="22.8" x14ac:dyDescent="0.4">
      <c r="B2" s="1" t="s">
        <v>43</v>
      </c>
    </row>
    <row r="3" spans="2:4" x14ac:dyDescent="0.3">
      <c r="B3" s="2" t="s">
        <v>44</v>
      </c>
    </row>
    <row r="5" spans="2:4" ht="15.6" x14ac:dyDescent="0.3">
      <c r="B5" s="8" t="s">
        <v>45</v>
      </c>
      <c r="C5" s="8" t="s">
        <v>12</v>
      </c>
      <c r="D5" s="8" t="s">
        <v>13</v>
      </c>
    </row>
    <row r="6" spans="2:4" x14ac:dyDescent="0.3">
      <c r="B6" s="9" t="s">
        <v>46</v>
      </c>
      <c r="C6" s="9" t="s">
        <v>47</v>
      </c>
      <c r="D6" s="4">
        <f>Gastos!C5</f>
        <v>6000</v>
      </c>
    </row>
    <row r="7" spans="2:4" x14ac:dyDescent="0.3">
      <c r="B7" s="9" t="s">
        <v>48</v>
      </c>
      <c r="C7" s="9" t="s">
        <v>14</v>
      </c>
      <c r="D7" s="4">
        <f>Gastos!C8</f>
        <v>1512</v>
      </c>
    </row>
    <row r="8" spans="2:4" x14ac:dyDescent="0.3">
      <c r="B8" s="9" t="s">
        <v>49</v>
      </c>
      <c r="C8" s="9" t="s">
        <v>15</v>
      </c>
      <c r="D8" s="4">
        <f>Gastos!C9</f>
        <v>1000</v>
      </c>
    </row>
    <row r="9" spans="2:4" x14ac:dyDescent="0.3">
      <c r="B9" s="9" t="s">
        <v>49</v>
      </c>
      <c r="C9" s="9" t="s">
        <v>16</v>
      </c>
      <c r="D9" s="4">
        <f>Gastos!C11</f>
        <v>600</v>
      </c>
    </row>
    <row r="10" spans="2:4" x14ac:dyDescent="0.3">
      <c r="B10" s="9" t="s">
        <v>50</v>
      </c>
      <c r="C10" s="9" t="s">
        <v>51</v>
      </c>
      <c r="D10" s="4">
        <f>Gastos!C12*2</f>
        <v>460</v>
      </c>
    </row>
    <row r="11" spans="2:4" x14ac:dyDescent="0.3">
      <c r="B11" s="9" t="s">
        <v>52</v>
      </c>
      <c r="C11" s="9" t="s">
        <v>53</v>
      </c>
      <c r="D11" s="4">
        <f>Deudas!E6</f>
        <v>2000</v>
      </c>
    </row>
    <row r="12" spans="2:4" x14ac:dyDescent="0.3">
      <c r="B12" s="9" t="s">
        <v>52</v>
      </c>
      <c r="C12" s="9" t="s">
        <v>56</v>
      </c>
      <c r="D12" s="4">
        <v>3791</v>
      </c>
    </row>
    <row r="13" spans="2:4" x14ac:dyDescent="0.3">
      <c r="B13" s="9" t="s">
        <v>52</v>
      </c>
      <c r="C13" s="9" t="s">
        <v>54</v>
      </c>
      <c r="D13" s="4">
        <f>Deudas!E9</f>
        <v>2000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Gastos</vt:lpstr>
      <vt:lpstr>Deudas</vt:lpstr>
      <vt:lpstr>Ahorro</vt:lpstr>
      <vt:lpstr>Calendario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Idiris Lazcano</cp:lastModifiedBy>
  <cp:revision>1</cp:revision>
  <dcterms:created xsi:type="dcterms:W3CDTF">2026-07-06T18:44:28Z</dcterms:created>
  <dcterms:modified xsi:type="dcterms:W3CDTF">2026-07-06T18:54:05Z</dcterms:modified>
  <dc:language>en-US</dc:language>
</cp:coreProperties>
</file>